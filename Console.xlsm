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J\Desktop\School\CSO - 490\Project\490_Project\"/>
    </mc:Choice>
  </mc:AlternateContent>
  <xr:revisionPtr revIDLastSave="0" documentId="13_ncr:1_{CDC57882-8721-4E8C-9651-38F122A6E091}" xr6:coauthVersionLast="46" xr6:coauthVersionMax="46" xr10:uidLastSave="{00000000-0000-0000-0000-000000000000}"/>
  <bookViews>
    <workbookView xWindow="-120" yWindow="-120" windowWidth="29040" windowHeight="16440" xr2:uid="{13BAEA46-B8C2-40B1-987C-211BFADF21B9}"/>
  </bookViews>
  <sheets>
    <sheet name="Console Tab" sheetId="1" r:id="rId1"/>
    <sheet name="Code Tab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L1" i="1" a="1"/>
  <c r="L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<sst xmlns="http://schemas.openxmlformats.org/spreadsheetml/2006/main" count="138" uniqueCount="98">
  <si>
    <t>CRONUS</t>
  </si>
  <si>
    <t>Port 6</t>
  </si>
  <si>
    <t>Port 4</t>
  </si>
  <si>
    <t>Crew Modules</t>
  </si>
  <si>
    <t>2B</t>
  </si>
  <si>
    <t>4A</t>
  </si>
  <si>
    <t>4B</t>
  </si>
  <si>
    <t>1A</t>
  </si>
  <si>
    <t>3B</t>
  </si>
  <si>
    <t>3A</t>
  </si>
  <si>
    <t>1B</t>
  </si>
  <si>
    <t>SPARTAN - A (EPS)</t>
  </si>
  <si>
    <t>SPARTAN - B (TCS)</t>
  </si>
  <si>
    <t>BATTERY</t>
  </si>
  <si>
    <t>ADCS</t>
  </si>
  <si>
    <t>COMMAND</t>
  </si>
  <si>
    <t>Roll</t>
  </si>
  <si>
    <t>Pitch</t>
  </si>
  <si>
    <t>Yaw</t>
  </si>
  <si>
    <t>ACTUAL</t>
  </si>
  <si>
    <t>2A</t>
  </si>
  <si>
    <t>Reset Button</t>
  </si>
  <si>
    <t>Button</t>
  </si>
  <si>
    <t>END SIMULATION</t>
  </si>
  <si>
    <t>END SIM BUTTON</t>
  </si>
  <si>
    <t>VERIFY BUTTON</t>
  </si>
  <si>
    <t>SYSTEM RESET</t>
  </si>
  <si>
    <t>INCASE OF ISSUE PRESS STOP =&gt;</t>
  </si>
  <si>
    <t>ADCS HEALTH CHECK</t>
  </si>
  <si>
    <t>CRONUS HEALTH CHECK</t>
  </si>
  <si>
    <t>Starboard 4</t>
  </si>
  <si>
    <t>Starboard 6</t>
  </si>
  <si>
    <t>ENTER STBD ANGLE</t>
  </si>
  <si>
    <t xml:space="preserve">Mission Clock: </t>
  </si>
  <si>
    <t>VERIFY TELEMETRY</t>
  </si>
  <si>
    <t>CRNS</t>
  </si>
  <si>
    <t>EPS</t>
  </si>
  <si>
    <t>TCS</t>
  </si>
  <si>
    <t>EPS HEALTH CHECK</t>
  </si>
  <si>
    <t>TCS HEALTH CHECK</t>
  </si>
  <si>
    <t>CORRECT DATA</t>
  </si>
  <si>
    <t>crns error</t>
  </si>
  <si>
    <t>1. HEALTH CHECK</t>
  </si>
  <si>
    <t>3. RESET SYSTEM</t>
  </si>
  <si>
    <t>4. HEALTH CHECK</t>
  </si>
  <si>
    <t>5. VERIFY TELEM</t>
  </si>
  <si>
    <t>2. VERIFY DATA</t>
  </si>
  <si>
    <t>5. VERIFY DATA</t>
  </si>
  <si>
    <t>6. UPLOAD DATA PATCH</t>
  </si>
  <si>
    <t>2. VERIFY TELEM x3</t>
  </si>
  <si>
    <t>6. ADJUST ATTITUDE</t>
  </si>
  <si>
    <t>ADJUST ATTITUDE</t>
  </si>
  <si>
    <t>ALIGN ARRAYS</t>
  </si>
  <si>
    <t>ENABLE POWER DIST.</t>
  </si>
  <si>
    <t>POWER DIST. UNIT</t>
  </si>
  <si>
    <t>POWER SUPPLY</t>
  </si>
  <si>
    <t xml:space="preserve">VERIFY POWER </t>
  </si>
  <si>
    <t>2. VERIFY POWER</t>
  </si>
  <si>
    <t>5. VERIFY POWER</t>
  </si>
  <si>
    <t>6. RE-ALIGN ARRAYS</t>
  </si>
  <si>
    <t>7.ENABLE P.D.U.s</t>
  </si>
  <si>
    <t>ARRAY ALIGNMENT</t>
  </si>
  <si>
    <t>PRESS TO BEGIN SIMULATION =&gt;</t>
  </si>
  <si>
    <t>TEMPERATURE DATA</t>
  </si>
  <si>
    <t>VERIFY DATA</t>
  </si>
  <si>
    <t>RAD. ALIGNMENT</t>
  </si>
  <si>
    <t>ALIGN RAD.</t>
  </si>
  <si>
    <t>6. RE-ALIGN RAD.s</t>
  </si>
  <si>
    <t>7.ENABLE PUMPS</t>
  </si>
  <si>
    <t xml:space="preserve"> </t>
  </si>
  <si>
    <t>INITIATE COUPLING</t>
  </si>
  <si>
    <t>7. ENGAGE COUPLING</t>
  </si>
  <si>
    <t>8. END ADCO SIM</t>
  </si>
  <si>
    <t>UPLINK TEST</t>
  </si>
  <si>
    <t>DOWNLINK TEST</t>
  </si>
  <si>
    <t>7. TEST UPLINK</t>
  </si>
  <si>
    <t>8. TEST DOWNLINK</t>
  </si>
  <si>
    <t>10. END CRONUS SIM</t>
  </si>
  <si>
    <t>9. UPDATE GPS DATA</t>
  </si>
  <si>
    <t>TRANSMIT GPS DATA</t>
  </si>
  <si>
    <t>BATTERY LEVELS</t>
  </si>
  <si>
    <t>CHECK BATTERY</t>
  </si>
  <si>
    <t>ARRAY EFFICIENCY</t>
  </si>
  <si>
    <t>CHECK ARRAY</t>
  </si>
  <si>
    <t>bat levels</t>
  </si>
  <si>
    <t>arr eff</t>
  </si>
  <si>
    <t>POWER FAILURE</t>
  </si>
  <si>
    <t>CHARGING</t>
  </si>
  <si>
    <t>PUMP STATUS</t>
  </si>
  <si>
    <t>10. END EPS SIM</t>
  </si>
  <si>
    <t>10. END TCS SIM</t>
  </si>
  <si>
    <t>9. CHECK EFFICIENCY</t>
  </si>
  <si>
    <t>8. CHECK BATT. LEVEL</t>
  </si>
  <si>
    <t>RAD. SETTING</t>
  </si>
  <si>
    <t>8. SET RAD. LEVEL</t>
  </si>
  <si>
    <t xml:space="preserve">9. SET TEMP. </t>
  </si>
  <si>
    <t>_x0014_Ó§¦0N_x0019__x0003_¬</t>
  </si>
  <si>
    <t>ENGAGE PUMPS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</si>
</sst>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5" borderId="0" xfId="0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164" fontId="4" fillId="7" borderId="9" xfId="0" applyNumberFormat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4" fillId="3" borderId="17" xfId="0" applyFont="1" applyFill="1" applyBorder="1" applyAlignment="1">
      <alignment vertical="center"/>
    </xf>
    <xf numFmtId="21" fontId="0" fillId="0" borderId="0" xfId="0" applyNumberFormat="1"/>
    <xf numFmtId="2" fontId="0" fillId="0" borderId="0" xfId="0" applyNumberFormat="1"/>
    <xf numFmtId="1" fontId="0" fillId="0" borderId="0" xfId="0" applyNumberFormat="1"/>
    <xf numFmtId="164" fontId="4" fillId="7" borderId="11" xfId="0" applyNumberFormat="1" applyFont="1" applyFill="1" applyBorder="1" applyAlignment="1">
      <alignment horizontal="center" vertical="center"/>
    </xf>
    <xf numFmtId="164" fontId="4" fillId="3" borderId="16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4" fillId="7" borderId="12" xfId="0" applyFont="1" applyFill="1" applyBorder="1" applyAlignment="1">
      <alignment vertical="center"/>
    </xf>
    <xf numFmtId="0" fontId="4" fillId="7" borderId="10" xfId="0" applyFont="1" applyFill="1" applyBorder="1" applyAlignment="1">
      <alignment vertical="center"/>
    </xf>
    <xf numFmtId="0" fontId="0" fillId="0" borderId="0" xfId="0" applyAlignment="1">
      <alignment wrapText="1"/>
    </xf>
    <xf numFmtId="0" fontId="4" fillId="3" borderId="0" xfId="0" applyFont="1" applyFill="1" applyBorder="1" applyAlignment="1">
      <alignment horizontal="left" vertical="center"/>
    </xf>
    <xf numFmtId="9" fontId="0" fillId="0" borderId="0" xfId="0" applyNumberFormat="1"/>
    <xf numFmtId="0" fontId="4" fillId="3" borderId="16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46" fontId="0" fillId="7" borderId="0" xfId="0" applyNumberFormat="1" applyFill="1" applyAlignment="1">
      <alignment horizontal="center" vertical="center"/>
    </xf>
    <xf numFmtId="21" fontId="2" fillId="3" borderId="9" xfId="0" applyNumberFormat="1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9" fontId="2" fillId="7" borderId="9" xfId="0" applyNumberFormat="1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</cellXfs>
  <cellStyles count="1">
    <cellStyle name="Normal" xfId="0" builtinId="0"/>
  </cellStyles>
  <dxfs count="6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50021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16</xdr:col>
          <xdr:colOff>0</xdr:colOff>
          <xdr:row>23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22</xdr:row>
          <xdr:rowOff>0</xdr:rowOff>
        </xdr:from>
        <xdr:to>
          <xdr:col>16</xdr:col>
          <xdr:colOff>0</xdr:colOff>
          <xdr:row>23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9525</xdr:rowOff>
        </xdr:from>
        <xdr:to>
          <xdr:col>8</xdr:col>
          <xdr:colOff>0</xdr:colOff>
          <xdr:row>5</xdr:row>
          <xdr:rowOff>9525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9525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9525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9525</xdr:rowOff>
        </xdr:from>
        <xdr:to>
          <xdr:col>4</xdr:col>
          <xdr:colOff>0</xdr:colOff>
          <xdr:row>5</xdr:row>
          <xdr:rowOff>9525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0</xdr:colOff>
          <xdr:row>5</xdr:row>
          <xdr:rowOff>9525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ADCO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CRONUS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EPS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TCS SIM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9525</xdr:rowOff>
        </xdr:from>
        <xdr:to>
          <xdr:col>16</xdr:col>
          <xdr:colOff>0</xdr:colOff>
          <xdr:row>5</xdr:row>
          <xdr:rowOff>9525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9525</xdr:rowOff>
        </xdr:from>
        <xdr:to>
          <xdr:col>16</xdr:col>
          <xdr:colOff>0</xdr:colOff>
          <xdr:row>8</xdr:row>
          <xdr:rowOff>9525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ENABLE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9525</xdr:rowOff>
        </xdr:from>
        <xdr:to>
          <xdr:col>8</xdr:col>
          <xdr:colOff>0</xdr:colOff>
          <xdr:row>5</xdr:row>
          <xdr:rowOff>9525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0</xdr:colOff>
          <xdr:row>5</xdr:row>
          <xdr:rowOff>9525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9525</xdr:rowOff>
        </xdr:from>
        <xdr:to>
          <xdr:col>16</xdr:col>
          <xdr:colOff>0</xdr:colOff>
          <xdr:row>5</xdr:row>
          <xdr:rowOff>9525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16</xdr:col>
          <xdr:colOff>0</xdr:colOff>
          <xdr:row>14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16</xdr:col>
          <xdr:colOff>0</xdr:colOff>
          <xdr:row>16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4062-95F9-4553-AD90-A17C9C6C47D8}">
  <sheetPr codeName="Sheet1"/>
  <dimension ref="A1:P42"/>
  <sheetViews>
    <sheetView tabSelected="1" zoomScale="85" zoomScaleNormal="85" workbookViewId="0">
      <selection activeCell="S15" sqref="S15"/>
    </sheetView>
  </sheetViews>
  <sheetFormatPr defaultRowHeight="15" x14ac:dyDescent="0.25"/>
  <cols>
    <col min="1" max="5" width="9.140625" style="1"/>
    <col min="6" max="6" width="10.28515625" style="1" customWidth="1"/>
    <col min="7" max="16384" width="9.140625" style="1"/>
  </cols>
  <sheetData>
    <row r="1" spans="1:16" x14ac:dyDescent="0.25">
      <c r="A1" s="41" t="s">
        <v>62</v>
      </c>
      <c r="B1" s="42"/>
      <c r="C1" s="42"/>
      <c r="D1" s="42"/>
      <c r="H1" s="49"/>
      <c r="I1" s="49"/>
      <c r="J1" s="49"/>
      <c r="K1" s="49"/>
      <c r="L1" s="1" t="e" cm="1">
        <f t="array" ref="L1">if</f>
        <v>#NAME?</v>
      </c>
      <c r="M1" s="35" t="s">
        <v>33</v>
      </c>
      <c r="N1" s="35"/>
      <c r="O1" s="40"/>
      <c r="P1" s="40"/>
    </row>
    <row r="2" spans="1:16" x14ac:dyDescent="0.25">
      <c r="A2" s="43" t="s">
        <v>27</v>
      </c>
      <c r="B2" s="42"/>
      <c r="C2" s="42"/>
      <c r="D2" s="42"/>
    </row>
    <row r="4" spans="1:16" x14ac:dyDescent="0.25">
      <c r="A4" s="36" t="s">
        <v>14</v>
      </c>
      <c r="B4" s="37"/>
      <c r="C4" s="37"/>
      <c r="D4" s="37"/>
      <c r="E4" s="36" t="s">
        <v>0</v>
      </c>
      <c r="F4" s="36"/>
      <c r="G4" s="36"/>
      <c r="H4" s="36"/>
      <c r="I4" s="36" t="s">
        <v>11</v>
      </c>
      <c r="J4" s="36"/>
      <c r="K4" s="36"/>
      <c r="L4" s="36"/>
      <c r="M4" s="36" t="s">
        <v>12</v>
      </c>
      <c r="N4" s="37"/>
      <c r="O4" s="37"/>
      <c r="P4" s="37"/>
    </row>
    <row r="5" spans="1:16" x14ac:dyDescent="0.25">
      <c r="A5" s="38" t="s">
        <v>28</v>
      </c>
      <c r="B5" s="38"/>
      <c r="C5" s="38" t="s">
        <v>15</v>
      </c>
      <c r="D5" s="38"/>
      <c r="E5" s="38" t="s">
        <v>29</v>
      </c>
      <c r="F5" s="38"/>
      <c r="G5" s="38" t="s">
        <v>19</v>
      </c>
      <c r="H5" s="38"/>
      <c r="I5" s="38" t="s">
        <v>38</v>
      </c>
      <c r="J5" s="38"/>
      <c r="K5" s="38" t="s">
        <v>19</v>
      </c>
      <c r="L5" s="38"/>
      <c r="M5" s="38" t="s">
        <v>39</v>
      </c>
      <c r="N5" s="38"/>
      <c r="O5" s="38" t="s">
        <v>19</v>
      </c>
      <c r="P5" s="38"/>
    </row>
    <row r="6" spans="1:16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</row>
    <row r="7" spans="1:16" x14ac:dyDescent="0.25">
      <c r="A7" s="38" t="s">
        <v>19</v>
      </c>
      <c r="B7" s="38"/>
      <c r="C7" s="38" t="s">
        <v>34</v>
      </c>
      <c r="D7" s="38"/>
      <c r="E7" s="42"/>
      <c r="F7" s="42"/>
      <c r="G7" s="48" t="s">
        <v>64</v>
      </c>
      <c r="H7" s="39"/>
      <c r="I7" s="38" t="s">
        <v>55</v>
      </c>
      <c r="J7" s="38"/>
      <c r="K7" s="38" t="s">
        <v>56</v>
      </c>
      <c r="L7" s="45"/>
      <c r="M7" s="38" t="s">
        <v>63</v>
      </c>
      <c r="N7" s="38"/>
      <c r="O7" s="38" t="s">
        <v>64</v>
      </c>
      <c r="P7" s="45"/>
    </row>
    <row r="8" spans="1:16" x14ac:dyDescent="0.25">
      <c r="A8" s="9" t="s">
        <v>16</v>
      </c>
      <c r="B8" s="10"/>
      <c r="C8" s="52"/>
      <c r="D8" s="53"/>
      <c r="E8" s="44"/>
      <c r="F8" s="44"/>
      <c r="G8" s="9" t="s">
        <v>22</v>
      </c>
      <c r="H8" s="9"/>
      <c r="I8" s="46"/>
      <c r="J8" s="47"/>
      <c r="K8" s="25"/>
      <c r="L8" s="26"/>
      <c r="M8" s="46"/>
      <c r="N8" s="47"/>
      <c r="O8" s="13"/>
      <c r="P8" s="12"/>
    </row>
    <row r="9" spans="1:16" x14ac:dyDescent="0.25">
      <c r="A9" s="9" t="s">
        <v>17</v>
      </c>
      <c r="B9" s="21"/>
      <c r="C9" s="50" t="s">
        <v>51</v>
      </c>
      <c r="D9" s="51"/>
      <c r="E9" s="16"/>
      <c r="F9" s="17"/>
      <c r="G9" s="58" t="s">
        <v>40</v>
      </c>
      <c r="H9" s="39"/>
      <c r="I9" s="58" t="s">
        <v>61</v>
      </c>
      <c r="J9" s="39"/>
      <c r="K9" s="58" t="s">
        <v>52</v>
      </c>
      <c r="L9" s="39"/>
      <c r="M9" s="48" t="s">
        <v>65</v>
      </c>
      <c r="N9" s="39"/>
      <c r="O9" s="48" t="s">
        <v>66</v>
      </c>
      <c r="P9" s="39"/>
    </row>
    <row r="10" spans="1:16" x14ac:dyDescent="0.25">
      <c r="A10" s="14" t="s">
        <v>18</v>
      </c>
      <c r="B10" s="10"/>
      <c r="C10" s="15"/>
      <c r="D10" s="22"/>
      <c r="E10" s="46"/>
      <c r="F10" s="59"/>
      <c r="G10" s="23"/>
      <c r="H10" s="24"/>
      <c r="I10" s="46"/>
      <c r="J10" s="59"/>
      <c r="K10" s="64"/>
      <c r="L10" s="65"/>
      <c r="M10" s="47"/>
      <c r="N10" s="59"/>
      <c r="O10" s="68" t="s">
        <v>32</v>
      </c>
      <c r="P10" s="69"/>
    </row>
    <row r="11" spans="1:16" x14ac:dyDescent="0.25">
      <c r="A11" s="44"/>
      <c r="B11" s="44"/>
      <c r="C11" s="44"/>
      <c r="D11" s="44"/>
      <c r="E11" s="45"/>
      <c r="F11" s="45"/>
      <c r="G11" s="48" t="s">
        <v>73</v>
      </c>
      <c r="H11" s="65"/>
      <c r="I11" s="58" t="s">
        <v>54</v>
      </c>
      <c r="J11" s="39"/>
      <c r="K11" s="58" t="s">
        <v>53</v>
      </c>
      <c r="L11" s="39"/>
      <c r="M11" s="39" t="s">
        <v>88</v>
      </c>
      <c r="N11" s="38"/>
      <c r="O11" s="38" t="s">
        <v>97</v>
      </c>
      <c r="P11" s="38"/>
    </row>
    <row r="12" spans="1:16" x14ac:dyDescent="0.25">
      <c r="A12" s="48" t="s">
        <v>70</v>
      </c>
      <c r="B12" s="39"/>
      <c r="C12" s="48"/>
      <c r="D12" s="39"/>
      <c r="E12" s="46"/>
      <c r="F12" s="59"/>
      <c r="G12" s="42"/>
      <c r="H12" s="42"/>
      <c r="I12" s="44"/>
      <c r="J12" s="44"/>
      <c r="K12" s="54"/>
      <c r="L12" s="54"/>
      <c r="M12" s="44"/>
      <c r="N12" s="44"/>
      <c r="O12" s="66"/>
      <c r="P12" s="67"/>
    </row>
    <row r="13" spans="1:16" x14ac:dyDescent="0.25">
      <c r="A13" s="46"/>
      <c r="B13" s="47"/>
      <c r="C13" s="47"/>
      <c r="D13" s="59"/>
      <c r="E13" s="45"/>
      <c r="F13" s="45"/>
      <c r="G13" s="38" t="s">
        <v>74</v>
      </c>
      <c r="H13" s="38"/>
      <c r="I13" s="38" t="s">
        <v>80</v>
      </c>
      <c r="J13" s="45"/>
      <c r="K13" s="60" t="s">
        <v>81</v>
      </c>
      <c r="L13" s="61"/>
      <c r="M13" s="39" t="s">
        <v>93</v>
      </c>
      <c r="N13" s="38"/>
      <c r="O13" s="38" t="s">
        <v>25</v>
      </c>
      <c r="P13" s="38"/>
    </row>
    <row r="14" spans="1:16" x14ac:dyDescent="0.25">
      <c r="A14" s="28"/>
      <c r="B14" s="28"/>
      <c r="C14" s="28"/>
      <c r="D14" s="28"/>
      <c r="E14" s="46"/>
      <c r="F14" s="59"/>
      <c r="G14" s="62"/>
      <c r="H14" s="63"/>
      <c r="I14" s="81"/>
      <c r="J14" s="82"/>
      <c r="K14" s="62"/>
      <c r="L14" s="63"/>
      <c r="M14" s="44"/>
      <c r="N14" s="44"/>
      <c r="O14" s="66"/>
      <c r="P14" s="67"/>
    </row>
    <row r="15" spans="1:16" x14ac:dyDescent="0.25">
      <c r="A15" s="28"/>
      <c r="B15" s="28"/>
      <c r="C15" s="28"/>
      <c r="D15" s="28"/>
      <c r="E15" s="45"/>
      <c r="F15" s="45"/>
      <c r="G15" s="38" t="s">
        <v>79</v>
      </c>
      <c r="H15" s="38"/>
      <c r="I15" s="38" t="s">
        <v>82</v>
      </c>
      <c r="J15" s="45"/>
      <c r="K15" s="60" t="s">
        <v>83</v>
      </c>
      <c r="L15" s="61"/>
      <c r="M15" s="39" t="s">
        <v>88</v>
      </c>
      <c r="N15" s="38"/>
      <c r="O15" s="38" t="s">
        <v>25</v>
      </c>
      <c r="P15" s="38"/>
    </row>
    <row r="16" spans="1:16" x14ac:dyDescent="0.25">
      <c r="A16" s="31" t="s">
        <v>42</v>
      </c>
      <c r="B16" s="31"/>
      <c r="C16" s="31" t="s">
        <v>72</v>
      </c>
      <c r="D16" s="56"/>
      <c r="E16" s="44"/>
      <c r="F16" s="44"/>
      <c r="G16" s="85"/>
      <c r="H16" s="86"/>
      <c r="I16" s="81"/>
      <c r="J16" s="82"/>
      <c r="K16" s="62"/>
      <c r="L16" s="63"/>
      <c r="M16" s="44"/>
      <c r="N16" s="44"/>
      <c r="O16" s="66"/>
      <c r="P16" s="67"/>
    </row>
    <row r="17" spans="1:16" x14ac:dyDescent="0.25">
      <c r="A17" s="31" t="s">
        <v>49</v>
      </c>
      <c r="B17" s="31"/>
      <c r="C17" s="31"/>
      <c r="D17" s="31"/>
      <c r="E17" s="30"/>
      <c r="F17" s="31"/>
      <c r="G17" s="31"/>
      <c r="H17" s="56"/>
      <c r="I17" s="34" t="s">
        <v>42</v>
      </c>
      <c r="J17" s="34"/>
      <c r="K17" s="34" t="s">
        <v>60</v>
      </c>
      <c r="L17" s="34"/>
      <c r="M17" s="33" t="s">
        <v>42</v>
      </c>
      <c r="N17" s="34"/>
      <c r="O17" s="34" t="s">
        <v>68</v>
      </c>
      <c r="P17" s="34"/>
    </row>
    <row r="18" spans="1:16" x14ac:dyDescent="0.25">
      <c r="A18" s="31" t="s">
        <v>43</v>
      </c>
      <c r="B18" s="31"/>
      <c r="C18" s="31"/>
      <c r="D18" s="31"/>
      <c r="E18" s="30" t="s">
        <v>42</v>
      </c>
      <c r="F18" s="31"/>
      <c r="G18" s="31" t="s">
        <v>48</v>
      </c>
      <c r="H18" s="56"/>
      <c r="I18" s="31" t="s">
        <v>57</v>
      </c>
      <c r="J18" s="31"/>
      <c r="K18" s="31" t="s">
        <v>92</v>
      </c>
      <c r="L18" s="32"/>
      <c r="M18" s="30" t="s">
        <v>46</v>
      </c>
      <c r="N18" s="31"/>
      <c r="O18" s="31" t="s">
        <v>94</v>
      </c>
      <c r="P18" s="32"/>
    </row>
    <row r="19" spans="1:16" x14ac:dyDescent="0.25">
      <c r="A19" s="31" t="s">
        <v>44</v>
      </c>
      <c r="B19" s="31"/>
      <c r="C19" s="31"/>
      <c r="D19" s="31"/>
      <c r="E19" s="30" t="s">
        <v>46</v>
      </c>
      <c r="F19" s="31"/>
      <c r="G19" s="31" t="s">
        <v>75</v>
      </c>
      <c r="H19" s="56"/>
      <c r="I19" s="31" t="s">
        <v>43</v>
      </c>
      <c r="J19" s="31"/>
      <c r="K19" s="31" t="s">
        <v>91</v>
      </c>
      <c r="L19" s="32"/>
      <c r="M19" s="30" t="s">
        <v>43</v>
      </c>
      <c r="N19" s="31"/>
      <c r="O19" s="31" t="s">
        <v>95</v>
      </c>
      <c r="P19" s="32"/>
    </row>
    <row r="20" spans="1:16" x14ac:dyDescent="0.25">
      <c r="A20" s="31" t="s">
        <v>45</v>
      </c>
      <c r="B20" s="31"/>
      <c r="C20" s="31"/>
      <c r="D20" s="31"/>
      <c r="E20" s="30" t="s">
        <v>43</v>
      </c>
      <c r="F20" s="31"/>
      <c r="G20" s="83" t="s">
        <v>76</v>
      </c>
      <c r="H20" s="84"/>
      <c r="I20" s="30" t="s">
        <v>44</v>
      </c>
      <c r="J20" s="31"/>
      <c r="K20" s="31" t="s">
        <v>89</v>
      </c>
      <c r="L20" s="32"/>
      <c r="M20" s="30" t="s">
        <v>44</v>
      </c>
      <c r="N20" s="31"/>
      <c r="O20" s="31" t="s">
        <v>90</v>
      </c>
      <c r="P20" s="32"/>
    </row>
    <row r="21" spans="1:16" x14ac:dyDescent="0.25">
      <c r="A21" s="31" t="s">
        <v>50</v>
      </c>
      <c r="B21" s="31"/>
      <c r="C21" s="31"/>
      <c r="D21" s="31"/>
      <c r="E21" s="30" t="s">
        <v>44</v>
      </c>
      <c r="F21" s="31"/>
      <c r="G21" s="31" t="s">
        <v>78</v>
      </c>
      <c r="H21" s="56"/>
      <c r="I21" s="30" t="s">
        <v>58</v>
      </c>
      <c r="J21" s="31"/>
      <c r="K21" s="32"/>
      <c r="L21" s="32"/>
      <c r="M21" s="30" t="s">
        <v>47</v>
      </c>
      <c r="N21" s="31"/>
      <c r="O21" s="32"/>
      <c r="P21" s="32"/>
    </row>
    <row r="22" spans="1:16" x14ac:dyDescent="0.25">
      <c r="A22" s="31" t="s">
        <v>71</v>
      </c>
      <c r="B22" s="31"/>
      <c r="C22" s="31"/>
      <c r="D22" s="31"/>
      <c r="E22" s="30" t="s">
        <v>47</v>
      </c>
      <c r="F22" s="31"/>
      <c r="G22" s="31" t="s">
        <v>77</v>
      </c>
      <c r="H22" s="56"/>
      <c r="I22" s="30" t="s">
        <v>59</v>
      </c>
      <c r="J22" s="31"/>
      <c r="K22" s="32"/>
      <c r="L22" s="32"/>
      <c r="M22" s="30" t="s">
        <v>67</v>
      </c>
      <c r="N22" s="31"/>
      <c r="O22" s="32"/>
      <c r="P22" s="32"/>
    </row>
    <row r="23" spans="1:16" x14ac:dyDescent="0.25">
      <c r="A23" s="38" t="s">
        <v>26</v>
      </c>
      <c r="B23" s="38"/>
      <c r="C23" s="45" t="s">
        <v>21</v>
      </c>
      <c r="D23" s="45"/>
      <c r="E23" s="38" t="s">
        <v>26</v>
      </c>
      <c r="F23" s="38"/>
      <c r="G23" s="57" t="s">
        <v>21</v>
      </c>
      <c r="H23" s="57"/>
      <c r="I23" s="38" t="s">
        <v>26</v>
      </c>
      <c r="J23" s="38"/>
      <c r="K23" s="57" t="s">
        <v>21</v>
      </c>
      <c r="L23" s="57"/>
      <c r="M23" s="38" t="s">
        <v>26</v>
      </c>
      <c r="N23" s="38"/>
      <c r="O23" s="57" t="s">
        <v>21</v>
      </c>
      <c r="P23" s="57"/>
    </row>
    <row r="24" spans="1:16" x14ac:dyDescent="0.25">
      <c r="A24" s="55" t="s">
        <v>23</v>
      </c>
      <c r="B24" s="38"/>
      <c r="C24" s="45" t="s">
        <v>24</v>
      </c>
      <c r="D24" s="54"/>
      <c r="E24" s="45" t="s">
        <v>23</v>
      </c>
      <c r="F24" s="45"/>
      <c r="G24" s="45" t="s">
        <v>24</v>
      </c>
      <c r="H24" s="45"/>
      <c r="I24" s="45" t="s">
        <v>23</v>
      </c>
      <c r="J24" s="45"/>
      <c r="K24" s="45" t="s">
        <v>24</v>
      </c>
      <c r="L24" s="45"/>
      <c r="M24" s="45" t="s">
        <v>23</v>
      </c>
      <c r="N24" s="45"/>
      <c r="O24" s="45" t="s">
        <v>24</v>
      </c>
      <c r="P24" s="45"/>
    </row>
    <row r="27" spans="1:16" ht="15.75" thickBot="1" x14ac:dyDescent="0.3"/>
    <row r="28" spans="1:16" x14ac:dyDescent="0.25">
      <c r="B28" s="77" t="s">
        <v>4</v>
      </c>
      <c r="C28" s="2"/>
      <c r="D28" s="2"/>
      <c r="E28" s="71" t="s">
        <v>5</v>
      </c>
      <c r="F28" s="2"/>
      <c r="G28" s="2"/>
      <c r="H28" s="2"/>
      <c r="I28" s="2"/>
      <c r="J28" s="2"/>
      <c r="K28" s="2"/>
      <c r="L28" s="2"/>
      <c r="M28" s="71" t="s">
        <v>7</v>
      </c>
      <c r="N28" s="2"/>
      <c r="O28" s="2"/>
      <c r="P28" s="76" t="s">
        <v>8</v>
      </c>
    </row>
    <row r="29" spans="1:16" x14ac:dyDescent="0.25">
      <c r="B29" s="78"/>
      <c r="C29" s="3"/>
      <c r="D29" s="3"/>
      <c r="E29" s="72"/>
      <c r="F29" s="3"/>
      <c r="G29" s="3"/>
      <c r="H29" s="3"/>
      <c r="I29" s="3"/>
      <c r="J29" s="3"/>
      <c r="K29" s="3"/>
      <c r="L29" s="3"/>
      <c r="M29" s="72"/>
      <c r="N29" s="3"/>
      <c r="O29" s="3"/>
      <c r="P29" s="74"/>
    </row>
    <row r="30" spans="1:16" x14ac:dyDescent="0.25">
      <c r="B30" s="78"/>
      <c r="C30" s="3"/>
      <c r="D30" s="3"/>
      <c r="E30" s="72"/>
      <c r="F30" s="3"/>
      <c r="G30" s="3"/>
      <c r="H30" s="3"/>
      <c r="I30" s="3"/>
      <c r="J30" s="3"/>
      <c r="K30" s="3"/>
      <c r="L30" s="3"/>
      <c r="M30" s="72"/>
      <c r="N30" s="3"/>
      <c r="O30" s="3"/>
      <c r="P30" s="74"/>
    </row>
    <row r="31" spans="1:16" x14ac:dyDescent="0.25">
      <c r="B31" s="78"/>
      <c r="C31" s="3"/>
      <c r="D31" s="3"/>
      <c r="E31" s="72"/>
      <c r="F31" s="3"/>
      <c r="G31" s="3"/>
      <c r="H31" s="3"/>
      <c r="I31" s="3"/>
      <c r="J31" s="3"/>
      <c r="K31" s="3"/>
      <c r="L31" s="3"/>
      <c r="M31" s="72"/>
      <c r="N31" s="3"/>
      <c r="O31" s="3"/>
      <c r="P31" s="74"/>
    </row>
    <row r="32" spans="1:16" x14ac:dyDescent="0.25">
      <c r="B32" s="78"/>
      <c r="C32" s="3"/>
      <c r="D32" s="3"/>
      <c r="E32" s="72"/>
      <c r="F32" s="3"/>
      <c r="G32" s="3"/>
      <c r="H32" s="3"/>
      <c r="I32" s="3"/>
      <c r="J32" s="3"/>
      <c r="K32" s="3"/>
      <c r="L32" s="3"/>
      <c r="M32" s="72"/>
      <c r="N32" s="3"/>
      <c r="O32" s="3"/>
      <c r="P32" s="74"/>
    </row>
    <row r="33" spans="2:16" x14ac:dyDescent="0.25">
      <c r="B33" s="78"/>
      <c r="C33" s="4" t="s">
        <v>13</v>
      </c>
      <c r="D33" s="3"/>
      <c r="E33" s="72"/>
      <c r="F33" s="4" t="s">
        <v>13</v>
      </c>
      <c r="G33" s="3"/>
      <c r="H33" s="3"/>
      <c r="I33" s="3"/>
      <c r="J33" s="3"/>
      <c r="K33" s="3"/>
      <c r="L33" s="4" t="s">
        <v>13</v>
      </c>
      <c r="M33" s="72"/>
      <c r="N33" s="3"/>
      <c r="O33" s="4" t="s">
        <v>13</v>
      </c>
      <c r="P33" s="74"/>
    </row>
    <row r="34" spans="2:16" x14ac:dyDescent="0.25">
      <c r="B34" s="5"/>
      <c r="C34" s="11"/>
      <c r="D34" s="3"/>
      <c r="E34" s="3"/>
      <c r="F34" s="11"/>
      <c r="G34" s="3"/>
      <c r="H34" s="11"/>
      <c r="I34" s="6"/>
      <c r="J34" s="11"/>
      <c r="K34" s="3"/>
      <c r="L34" s="11"/>
      <c r="M34" s="3"/>
      <c r="N34" s="3"/>
      <c r="O34" s="11"/>
      <c r="P34" s="7"/>
    </row>
    <row r="35" spans="2:16" x14ac:dyDescent="0.25">
      <c r="B35" s="80" t="s">
        <v>1</v>
      </c>
      <c r="C35" s="70"/>
      <c r="D35" s="11"/>
      <c r="E35" s="70" t="s">
        <v>2</v>
      </c>
      <c r="F35" s="70"/>
      <c r="G35" s="11"/>
      <c r="H35" s="70" t="s">
        <v>3</v>
      </c>
      <c r="I35" s="70"/>
      <c r="J35" s="70"/>
      <c r="K35" s="11"/>
      <c r="L35" s="70" t="s">
        <v>30</v>
      </c>
      <c r="M35" s="70"/>
      <c r="N35" s="11"/>
      <c r="O35" s="70" t="s">
        <v>31</v>
      </c>
      <c r="P35" s="70"/>
    </row>
    <row r="36" spans="2:16" x14ac:dyDescent="0.25">
      <c r="B36" s="5"/>
      <c r="C36" s="11"/>
      <c r="D36" s="3"/>
      <c r="E36" s="3"/>
      <c r="F36" s="11"/>
      <c r="G36" s="3"/>
      <c r="H36" s="11"/>
      <c r="I36" s="6"/>
      <c r="J36" s="11"/>
      <c r="K36" s="3"/>
      <c r="L36" s="11"/>
      <c r="M36" s="3"/>
      <c r="N36" s="3"/>
      <c r="O36" s="11"/>
      <c r="P36" s="7"/>
    </row>
    <row r="37" spans="2:16" x14ac:dyDescent="0.25">
      <c r="B37" s="78" t="s">
        <v>6</v>
      </c>
      <c r="C37" s="4" t="s">
        <v>13</v>
      </c>
      <c r="D37" s="3"/>
      <c r="E37" s="72" t="s">
        <v>20</v>
      </c>
      <c r="F37" s="4" t="s">
        <v>13</v>
      </c>
      <c r="G37" s="3"/>
      <c r="H37" s="3"/>
      <c r="I37" s="3"/>
      <c r="J37" s="3"/>
      <c r="K37" s="3"/>
      <c r="L37" s="4" t="s">
        <v>13</v>
      </c>
      <c r="M37" s="72" t="s">
        <v>9</v>
      </c>
      <c r="N37" s="3"/>
      <c r="O37" s="4" t="s">
        <v>13</v>
      </c>
      <c r="P37" s="74" t="s">
        <v>10</v>
      </c>
    </row>
    <row r="38" spans="2:16" x14ac:dyDescent="0.25">
      <c r="B38" s="78"/>
      <c r="C38" s="3"/>
      <c r="D38" s="3"/>
      <c r="E38" s="72"/>
      <c r="F38" s="3"/>
      <c r="G38" s="3"/>
      <c r="H38" s="3"/>
      <c r="I38" s="3"/>
      <c r="J38" s="3"/>
      <c r="K38" s="3"/>
      <c r="L38" s="3"/>
      <c r="M38" s="72"/>
      <c r="N38" s="3"/>
      <c r="O38" s="3"/>
      <c r="P38" s="74"/>
    </row>
    <row r="39" spans="2:16" x14ac:dyDescent="0.25">
      <c r="B39" s="78"/>
      <c r="C39" s="3"/>
      <c r="D39" s="3"/>
      <c r="E39" s="72"/>
      <c r="F39" s="3"/>
      <c r="G39" s="3"/>
      <c r="H39" s="3"/>
      <c r="I39" s="3"/>
      <c r="J39" s="3"/>
      <c r="K39" s="3"/>
      <c r="L39" s="3"/>
      <c r="M39" s="72"/>
      <c r="N39" s="3"/>
      <c r="O39" s="3"/>
      <c r="P39" s="74"/>
    </row>
    <row r="40" spans="2:16" x14ac:dyDescent="0.25">
      <c r="B40" s="78"/>
      <c r="C40" s="3"/>
      <c r="D40" s="3"/>
      <c r="E40" s="72"/>
      <c r="F40" s="3"/>
      <c r="G40" s="3"/>
      <c r="H40" s="3"/>
      <c r="I40" s="3"/>
      <c r="J40" s="3"/>
      <c r="K40" s="3"/>
      <c r="L40" s="3"/>
      <c r="M40" s="72"/>
      <c r="N40" s="3"/>
      <c r="O40" s="3"/>
      <c r="P40" s="74"/>
    </row>
    <row r="41" spans="2:16" x14ac:dyDescent="0.25">
      <c r="B41" s="78"/>
      <c r="C41" s="3"/>
      <c r="D41" s="3"/>
      <c r="E41" s="72"/>
      <c r="F41" s="3"/>
      <c r="G41" s="3"/>
      <c r="H41" s="3"/>
      <c r="I41" s="3"/>
      <c r="J41" s="3" t="s">
        <v>69</v>
      </c>
      <c r="K41" s="3"/>
      <c r="L41" s="3"/>
      <c r="M41" s="72"/>
      <c r="N41" s="3"/>
      <c r="O41" s="3"/>
      <c r="P41" s="74"/>
    </row>
    <row r="42" spans="2:16" ht="15.75" thickBot="1" x14ac:dyDescent="0.3">
      <c r="B42" s="79"/>
      <c r="C42" s="8"/>
      <c r="D42" s="8"/>
      <c r="E42" s="73"/>
      <c r="F42" s="8"/>
      <c r="G42" s="8"/>
      <c r="H42" s="8"/>
      <c r="I42" s="8"/>
      <c r="J42" s="8"/>
      <c r="K42" s="8"/>
      <c r="L42" s="8"/>
      <c r="M42" s="73"/>
      <c r="N42" s="8"/>
      <c r="O42" s="8"/>
      <c r="P42" s="75"/>
    </row>
  </sheetData>
  <mergeCells count="163">
    <mergeCell ref="A22:B22"/>
    <mergeCell ref="E10:F10"/>
    <mergeCell ref="E11:F11"/>
    <mergeCell ref="G11:H11"/>
    <mergeCell ref="G12:H12"/>
    <mergeCell ref="G13:H13"/>
    <mergeCell ref="E13:F13"/>
    <mergeCell ref="E14:F14"/>
    <mergeCell ref="G14:H14"/>
    <mergeCell ref="G22:H22"/>
    <mergeCell ref="G19:H19"/>
    <mergeCell ref="G20:H20"/>
    <mergeCell ref="E15:F15"/>
    <mergeCell ref="E16:F16"/>
    <mergeCell ref="G15:H15"/>
    <mergeCell ref="G16:H16"/>
    <mergeCell ref="E17:F17"/>
    <mergeCell ref="G17:H17"/>
    <mergeCell ref="A19:B19"/>
    <mergeCell ref="C12:D12"/>
    <mergeCell ref="A12:B12"/>
    <mergeCell ref="I19:J19"/>
    <mergeCell ref="A16:B16"/>
    <mergeCell ref="E18:F18"/>
    <mergeCell ref="A13:D13"/>
    <mergeCell ref="I15:J15"/>
    <mergeCell ref="I16:J16"/>
    <mergeCell ref="I13:J13"/>
    <mergeCell ref="I14:J14"/>
    <mergeCell ref="C17:D17"/>
    <mergeCell ref="C18:D18"/>
    <mergeCell ref="A18:B18"/>
    <mergeCell ref="M37:M42"/>
    <mergeCell ref="P37:P42"/>
    <mergeCell ref="P28:P33"/>
    <mergeCell ref="E37:E42"/>
    <mergeCell ref="E28:E33"/>
    <mergeCell ref="B28:B33"/>
    <mergeCell ref="B37:B42"/>
    <mergeCell ref="B35:C35"/>
    <mergeCell ref="E35:F35"/>
    <mergeCell ref="H35:J35"/>
    <mergeCell ref="L35:M35"/>
    <mergeCell ref="M12:N12"/>
    <mergeCell ref="O12:P12"/>
    <mergeCell ref="M10:N10"/>
    <mergeCell ref="O10:P10"/>
    <mergeCell ref="M18:N18"/>
    <mergeCell ref="M19:N19"/>
    <mergeCell ref="O19:P19"/>
    <mergeCell ref="O35:P35"/>
    <mergeCell ref="M28:M33"/>
    <mergeCell ref="O24:P24"/>
    <mergeCell ref="M24:N24"/>
    <mergeCell ref="O23:P23"/>
    <mergeCell ref="M23:N23"/>
    <mergeCell ref="M13:N13"/>
    <mergeCell ref="O13:P13"/>
    <mergeCell ref="M14:N14"/>
    <mergeCell ref="O14:P14"/>
    <mergeCell ref="M15:N15"/>
    <mergeCell ref="O15:P15"/>
    <mergeCell ref="M16:N16"/>
    <mergeCell ref="O16:P16"/>
    <mergeCell ref="I24:J24"/>
    <mergeCell ref="K24:L24"/>
    <mergeCell ref="E23:F23"/>
    <mergeCell ref="G23:H23"/>
    <mergeCell ref="I23:J23"/>
    <mergeCell ref="K23:L23"/>
    <mergeCell ref="I9:J9"/>
    <mergeCell ref="K9:L9"/>
    <mergeCell ref="I11:J11"/>
    <mergeCell ref="K11:L11"/>
    <mergeCell ref="K12:L12"/>
    <mergeCell ref="I12:J12"/>
    <mergeCell ref="K17:L17"/>
    <mergeCell ref="E20:F20"/>
    <mergeCell ref="I18:J18"/>
    <mergeCell ref="I10:J10"/>
    <mergeCell ref="K13:L13"/>
    <mergeCell ref="K14:L14"/>
    <mergeCell ref="K15:L15"/>
    <mergeCell ref="K16:L16"/>
    <mergeCell ref="E12:F12"/>
    <mergeCell ref="K18:L18"/>
    <mergeCell ref="K10:L10"/>
    <mergeCell ref="K19:L19"/>
    <mergeCell ref="A23:B23"/>
    <mergeCell ref="C24:D24"/>
    <mergeCell ref="C23:D23"/>
    <mergeCell ref="A24:B24"/>
    <mergeCell ref="C19:D19"/>
    <mergeCell ref="G7:H7"/>
    <mergeCell ref="E8:F8"/>
    <mergeCell ref="E7:F7"/>
    <mergeCell ref="E4:H4"/>
    <mergeCell ref="E19:F19"/>
    <mergeCell ref="E21:F21"/>
    <mergeCell ref="E22:F22"/>
    <mergeCell ref="G18:H18"/>
    <mergeCell ref="G21:H21"/>
    <mergeCell ref="E24:F24"/>
    <mergeCell ref="G24:H24"/>
    <mergeCell ref="C16:D16"/>
    <mergeCell ref="C22:D22"/>
    <mergeCell ref="A11:D11"/>
    <mergeCell ref="A17:B17"/>
    <mergeCell ref="A20:B20"/>
    <mergeCell ref="C20:D20"/>
    <mergeCell ref="A21:B21"/>
    <mergeCell ref="C21:D21"/>
    <mergeCell ref="I8:J8"/>
    <mergeCell ref="C9:D9"/>
    <mergeCell ref="C8:D8"/>
    <mergeCell ref="A6:D6"/>
    <mergeCell ref="I6:L6"/>
    <mergeCell ref="A7:B7"/>
    <mergeCell ref="C7:D7"/>
    <mergeCell ref="E6:H6"/>
    <mergeCell ref="I7:J7"/>
    <mergeCell ref="K7:L7"/>
    <mergeCell ref="G9:H9"/>
    <mergeCell ref="M1:N1"/>
    <mergeCell ref="M4:P4"/>
    <mergeCell ref="K5:L5"/>
    <mergeCell ref="M5:N5"/>
    <mergeCell ref="O5:P5"/>
    <mergeCell ref="M11:N11"/>
    <mergeCell ref="O11:P11"/>
    <mergeCell ref="O1:P1"/>
    <mergeCell ref="A1:D1"/>
    <mergeCell ref="A2:D2"/>
    <mergeCell ref="A4:D4"/>
    <mergeCell ref="M6:P6"/>
    <mergeCell ref="M7:N7"/>
    <mergeCell ref="O7:P7"/>
    <mergeCell ref="M8:N8"/>
    <mergeCell ref="O9:P9"/>
    <mergeCell ref="M9:N9"/>
    <mergeCell ref="I4:L4"/>
    <mergeCell ref="H1:K1"/>
    <mergeCell ref="A5:B5"/>
    <mergeCell ref="C5:D5"/>
    <mergeCell ref="E5:F5"/>
    <mergeCell ref="G5:H5"/>
    <mergeCell ref="I5:J5"/>
    <mergeCell ref="I21:J21"/>
    <mergeCell ref="K21:L21"/>
    <mergeCell ref="I20:J20"/>
    <mergeCell ref="I22:J22"/>
    <mergeCell ref="K22:L22"/>
    <mergeCell ref="K20:L20"/>
    <mergeCell ref="O18:P18"/>
    <mergeCell ref="M17:N17"/>
    <mergeCell ref="O17:P17"/>
    <mergeCell ref="M20:N20"/>
    <mergeCell ref="M21:N21"/>
    <mergeCell ref="O20:P20"/>
    <mergeCell ref="O21:P21"/>
    <mergeCell ref="M22:N22"/>
    <mergeCell ref="O22:P22"/>
    <mergeCell ref="I17:J17"/>
  </mergeCells>
  <conditionalFormatting sqref="A6:M6">
    <cfRule type="containsText" dxfId="64" priority="81" operator="containsText" text="SYSTEM RESETTING">
      <formula>NOT(ISERROR(SEARCH("SYSTEM RESETTING",A6)))</formula>
    </cfRule>
    <cfRule type="containsText" dxfId="63" priority="82" operator="containsText" text="PLEASE WAIT">
      <formula>NOT(ISERROR(SEARCH("PLEASE WAIT",A6)))</formula>
    </cfRule>
    <cfRule type="containsText" dxfId="62" priority="83" operator="containsText" text="PERFORM HEALTH CHECK">
      <formula>NOT(ISERROR(SEARCH("PERFORM HEALTH CHECK",A6)))</formula>
    </cfRule>
    <cfRule type="containsText" dxfId="61" priority="84" operator="containsText" text="SYSTEM NORMAL">
      <formula>NOT(ISERROR(SEARCH("SYSTEM NORMAL",A6)))</formula>
    </cfRule>
    <cfRule type="containsText" dxfId="60" priority="85" operator="containsText" text="SYSTEM ERROR">
      <formula>NOT(ISERROR(SEARCH("SYSTEM ERROR",A6)))</formula>
    </cfRule>
  </conditionalFormatting>
  <conditionalFormatting sqref="A11:D11">
    <cfRule type="containsText" dxfId="59" priority="75" operator="containsText" text="ATTITUDE NORMAL">
      <formula>NOT(ISERROR(SEARCH("ATTITUDE NORMAL",A11)))</formula>
    </cfRule>
    <cfRule type="containsText" dxfId="58" priority="77" operator="containsText" text="ATTITUDE WARNING">
      <formula>NOT(ISERROR(SEARCH("ATTITUDE WARNING",A11)))</formula>
    </cfRule>
    <cfRule type="containsText" dxfId="57" priority="79" operator="containsText" text="ADJUST ATTITUDE">
      <formula>NOT(ISERROR(SEARCH("ADJUST ATTITUDE",A11)))</formula>
    </cfRule>
  </conditionalFormatting>
  <conditionalFormatting sqref="E10">
    <cfRule type="containsText" dxfId="56" priority="72" operator="containsText" text="SEND DATA CORRECTION">
      <formula>NOT(ISERROR(SEARCH("SEND DATA CORRECTION",E10)))</formula>
    </cfRule>
    <cfRule type="containsText" dxfId="55" priority="73" operator="containsText" text="DATA ERROR">
      <formula>NOT(ISERROR(SEARCH("DATA ERROR",E10)))</formula>
    </cfRule>
    <cfRule type="containsText" dxfId="54" priority="74" operator="containsText" text="SYSTEMS NORMAL">
      <formula>NOT(ISERROR(SEARCH("SYSTEMS NORMAL",E10)))</formula>
    </cfRule>
  </conditionalFormatting>
  <conditionalFormatting sqref="E8:F8">
    <cfRule type="containsText" dxfId="53" priority="67" operator="containsText" text="DATA TRANSMITTING">
      <formula>NOT(ISERROR(SEARCH("DATA TRANSMITTING",E8)))</formula>
    </cfRule>
    <cfRule type="containsText" dxfId="52" priority="68" operator="containsText" text="DATA CORRUPTED">
      <formula>NOT(ISERROR(SEARCH("DATA CORRUPTED",E8)))</formula>
    </cfRule>
    <cfRule type="containsText" dxfId="51" priority="22" operator="containsText" text="SEND DATA CORRECTION">
      <formula>NOT(ISERROR(SEARCH("SEND DATA CORRECTION",E8)))</formula>
    </cfRule>
    <cfRule type="containsText" dxfId="50" priority="21" operator="containsText" text="DATA NORMAL">
      <formula>NOT(ISERROR(SEARCH("DATA NORMAL",E8)))</formula>
    </cfRule>
  </conditionalFormatting>
  <conditionalFormatting sqref="H1:K1">
    <cfRule type="containsText" dxfId="49" priority="64" operator="containsText" text="SIMULATION TERMINATED">
      <formula>NOT(ISERROR(SEARCH("SIMULATION TERMINATED",H1)))</formula>
    </cfRule>
    <cfRule type="containsText" dxfId="48" priority="65" operator="containsText" text="SIMULATION RUNNING">
      <formula>NOT(ISERROR(SEARCH("SIMULATION RUNNING",H1)))</formula>
    </cfRule>
  </conditionalFormatting>
  <conditionalFormatting sqref="I8:J8">
    <cfRule type="containsText" dxfId="47" priority="61" operator="containsText" text="POWER FAILURE">
      <formula>NOT(ISERROR(SEARCH("POWER FAILURE",I8)))</formula>
    </cfRule>
    <cfRule type="containsText" dxfId="46" priority="62" operator="containsText" text="ACTIVATE POWER SYSTEMS">
      <formula>NOT(ISERROR(SEARCH("ACTIVATE POWER SYSTEMS",I8)))</formula>
    </cfRule>
    <cfRule type="containsText" dxfId="45" priority="63" operator="containsText" text="POWER NORMAL">
      <formula>NOT(ISERROR(SEARCH("POWER NORMAL",I8)))</formula>
    </cfRule>
  </conditionalFormatting>
  <conditionalFormatting sqref="I10:J10">
    <cfRule type="containsText" dxfId="44" priority="58" operator="containsText" text="ALIGN ARRAYS">
      <formula>NOT(ISERROR(SEARCH("ALIGN ARRAYS",I10)))</formula>
    </cfRule>
    <cfRule type="containsText" dxfId="43" priority="59" operator="containsText" text="ARRAY FAILURE">
      <formula>NOT(ISERROR(SEARCH("ARRAY FAILURE",I10)))</formula>
    </cfRule>
    <cfRule type="containsText" dxfId="42" priority="60" operator="containsText" text="ARRAYS ALIGNED">
      <formula>NOT(ISERROR(SEARCH("ARRAYS ALIGNED",I10)))</formula>
    </cfRule>
  </conditionalFormatting>
  <conditionalFormatting sqref="I12:J12">
    <cfRule type="containsText" dxfId="41" priority="54" operator="containsText" text="ACTIVATE PDU">
      <formula>NOT(ISERROR(SEARCH("ACTIVATE PDU",I12)))</formula>
    </cfRule>
    <cfRule type="containsText" dxfId="40" priority="56" operator="containsText" text="PDU FAILURE">
      <formula>NOT(ISERROR(SEARCH("PDU FAILURE",I12)))</formula>
    </cfRule>
    <cfRule type="containsText" dxfId="39" priority="57" operator="containsText" text="ACTIVE">
      <formula>NOT(ISERROR(SEARCH("ACTIVE",I12)))</formula>
    </cfRule>
  </conditionalFormatting>
  <conditionalFormatting sqref="M8:N8">
    <cfRule type="containsText" dxfId="38" priority="50" operator="containsText" text="ACTIVATE CONTROLS">
      <formula>NOT(ISERROR(SEARCH("ACTIVATE CONTROLS",M8)))</formula>
    </cfRule>
    <cfRule type="containsText" dxfId="37" priority="51" operator="containsText" text="CONTROLS ACTIVE">
      <formula>NOT(ISERROR(SEARCH("CONTROLS ACTIVE",M8)))</formula>
    </cfRule>
    <cfRule type="containsText" dxfId="36" priority="53" operator="containsText" text="DATA ERROR">
      <formula>NOT(ISERROR(SEARCH("DATA ERROR",M8)))</formula>
    </cfRule>
  </conditionalFormatting>
  <conditionalFormatting sqref="M10:N10">
    <cfRule type="containsText" dxfId="35" priority="46" operator="containsText" text="ARRAYS ALIGNED">
      <formula>NOT(ISERROR(SEARCH("ARRAYS ALIGNED",M10)))</formula>
    </cfRule>
    <cfRule type="containsText" dxfId="34" priority="48" operator="containsText" text="ALIGN ARRAYS">
      <formula>NOT(ISERROR(SEARCH("ALIGN ARRAYS",M10)))</formula>
    </cfRule>
    <cfRule type="containsText" dxfId="33" priority="49" operator="containsText" text="RAD. FAILURE">
      <formula>NOT(ISERROR(SEARCH("RAD. FAILURE",M10)))</formula>
    </cfRule>
  </conditionalFormatting>
  <conditionalFormatting sqref="M12:N12">
    <cfRule type="containsText" dxfId="32" priority="44" operator="containsText" text="PUMPS ACTIVE">
      <formula>NOT(ISERROR(SEARCH("PUMPS ACTIVE",M12)))</formula>
    </cfRule>
    <cfRule type="containsText" dxfId="31" priority="45" operator="containsText" text="ACTIVATE PUMPS">
      <formula>NOT(ISERROR(SEARCH("ACTIVATE PUMPS",M12)))</formula>
    </cfRule>
    <cfRule type="containsText" dxfId="30" priority="47" operator="containsText" text="PUMP FAILURE">
      <formula>NOT(ISERROR(SEARCH("PUMP FAILURE",M12)))</formula>
    </cfRule>
  </conditionalFormatting>
  <conditionalFormatting sqref="A13:D13">
    <cfRule type="containsText" dxfId="29" priority="40" operator="containsText" text="CRAFT READY FOR COUPLING">
      <formula>NOT(ISERROR(SEARCH("CRAFT READY FOR COUPLING",A13)))</formula>
    </cfRule>
    <cfRule type="containsText" dxfId="28" priority="42" operator="containsText" text="CRAFT MISALIGNED">
      <formula>NOT(ISERROR(SEARCH("CRAFT MISALIGNED",A13)))</formula>
    </cfRule>
    <cfRule type="containsText" dxfId="27" priority="43" operator="containsText" text="ALIGNMENT ERROR">
      <formula>NOT(ISERROR(SEARCH("ALIGNMENT ERROR",A13)))</formula>
    </cfRule>
  </conditionalFormatting>
  <conditionalFormatting sqref="E12">
    <cfRule type="containsText" dxfId="26" priority="34" operator="containsText" text="SEND DATA CORRECTION">
      <formula>NOT(ISERROR(SEARCH("SEND DATA CORRECTION",E12)))</formula>
    </cfRule>
    <cfRule type="containsText" dxfId="25" priority="35" operator="containsText" text="UPLINK ERROR">
      <formula>NOT(ISERROR(SEARCH("UPLINK ERROR",E12)))</formula>
    </cfRule>
  </conditionalFormatting>
  <conditionalFormatting sqref="E14">
    <cfRule type="containsText" dxfId="24" priority="31" operator="containsText" text="SEND DATA CORRECTION">
      <formula>NOT(ISERROR(SEARCH("SEND DATA CORRECTION",E14)))</formula>
    </cfRule>
    <cfRule type="containsText" dxfId="23" priority="32" operator="containsText" text="DOWNLINK ERROR">
      <formula>NOT(ISERROR(SEARCH("DOWNLINK ERROR",E14)))</formula>
    </cfRule>
  </conditionalFormatting>
  <conditionalFormatting sqref="E12:F12">
    <cfRule type="containsText" dxfId="22" priority="30" operator="containsText" text="UPLINK ACTIVE">
      <formula>NOT(ISERROR(SEARCH("UPLINK ACTIVE",E12)))</formula>
    </cfRule>
  </conditionalFormatting>
  <conditionalFormatting sqref="E14:F14">
    <cfRule type="containsText" dxfId="21" priority="29" operator="containsText" text="DOWNLINK ACTIVE">
      <formula>NOT(ISERROR(SEARCH("DOWNLINK ACTIVE",E14)))</formula>
    </cfRule>
  </conditionalFormatting>
  <conditionalFormatting sqref="E16:F16">
    <cfRule type="containsText" dxfId="20" priority="25" operator="containsText" text="DATA TRANSMITTING">
      <formula>NOT(ISERROR(SEARCH("DATA TRANSMITTING",E16)))</formula>
    </cfRule>
    <cfRule type="containsText" dxfId="19" priority="24" operator="containsText" text="SEND DATA CORRECTION">
      <formula>NOT(ISERROR(SEARCH("SEND DATA CORRECTION",E16)))</formula>
    </cfRule>
    <cfRule type="containsText" dxfId="18" priority="23" operator="containsText" text="TRANSMISSION ERROR">
      <formula>NOT(ISERROR(SEARCH("TRANSMISSION ERROR",E16)))</formula>
    </cfRule>
  </conditionalFormatting>
  <conditionalFormatting sqref="I16:J16">
    <cfRule type="containsText" dxfId="17" priority="17" operator="containsText" text="POWER FAILURE">
      <formula>NOT(ISERROR(SEARCH("POWER FAILURE",I16)))</formula>
    </cfRule>
  </conditionalFormatting>
  <conditionalFormatting sqref="M14:N14">
    <cfRule type="containsText" dxfId="16" priority="12" operator="containsText" text="PUMPS ACTIVE">
      <formula>NOT(ISERROR(SEARCH("PUMPS ACTIVE",M14)))</formula>
    </cfRule>
    <cfRule type="containsText" dxfId="15" priority="13" operator="containsText" text="ACTIVATE PUMPS">
      <formula>NOT(ISERROR(SEARCH("ACTIVATE PUMPS",M14)))</formula>
    </cfRule>
    <cfRule type="containsText" dxfId="14" priority="14" operator="containsText" text="RAD. FAILURE">
      <formula>NOT(ISERROR(SEARCH("RAD. FAILURE",M14)))</formula>
    </cfRule>
    <cfRule type="containsText" dxfId="13" priority="8" operator="containsText" text="RAD. NOT SET">
      <formula>NOT(ISERROR(SEARCH("RAD. NOT SET",M14)))</formula>
    </cfRule>
    <cfRule type="containsText" dxfId="12" priority="6" operator="containsText" text="DEFAULT SET.">
      <formula>NOT(ISERROR(SEARCH("DEFAULT SET.",M14)))</formula>
    </cfRule>
    <cfRule type="containsText" dxfId="11" priority="5" operator="containsText" text="SET RAD. LEVEL">
      <formula>NOT(ISERROR(SEARCH("SET RAD. LEVEL",M14)))</formula>
    </cfRule>
    <cfRule type="containsText" dxfId="10" priority="3" operator="containsText" text="SET RAD. LEVEL">
      <formula>NOT(ISERROR(SEARCH("SET RAD. LEVEL",M14)))</formula>
    </cfRule>
  </conditionalFormatting>
  <conditionalFormatting sqref="M16:N16">
    <cfRule type="containsText" dxfId="9" priority="11" operator="containsText" text="TEMP. WARNING">
      <formula>NOT(ISERROR(SEARCH("TEMP. WARNING",M16)))</formula>
    </cfRule>
    <cfRule type="containsText" dxfId="8" priority="7" operator="containsText" text="TEMP. LOW">
      <formula>NOT(ISERROR(SEARCH("TEMP. LOW",M16)))</formula>
    </cfRule>
    <cfRule type="containsText" dxfId="7" priority="4" operator="containsText" text="SET TEMP.">
      <formula>NOT(ISERROR(SEARCH("SET TEMP.",M16)))</formula>
    </cfRule>
    <cfRule type="containsText" dxfId="6" priority="1" operator="containsText" text="ADJUSTING TEMP.">
      <formula>NOT(ISERROR(SEARCH("ADJUSTING TEMP.",M16)))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CSReset">
                <anchor moveWithCells="1">
                  <from>
                    <xdr:col>1</xdr:col>
                    <xdr:colOff>609600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CS_Reset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DCS_Reset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NSreset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EPSreset">
                <anchor moveWithCells="1">
                  <from>
                    <xdr:col>9</xdr:col>
                    <xdr:colOff>609600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TCSreset">
                <anchor moveWithCells="1">
                  <from>
                    <xdr:col>13</xdr:col>
                    <xdr:colOff>609600</xdr:colOff>
                    <xdr:row>22</xdr:row>
                    <xdr:rowOff>0</xdr:rowOff>
                  </from>
                  <to>
                    <xdr:col>16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" name="Button 40">
              <controlPr defaultSize="0" print="0" autoFill="0" autoPict="0" macro="[0]!CRNScheck">
                <anchor mov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1" name="Button 44">
              <controlPr defaultSize="0" print="0" autoFill="0" autoPict="0" macro="[0]!BeginSim">
                <anchor mov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2" name="Button 45">
              <controlPr defaultSize="0" print="0" autoFill="0" autoPict="0" macro="[0]!QuitSim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3" name="Button 41">
              <controlPr defaultSize="0" print="0" autoFill="0" autoPict="0" macro="[0]!SendAttitude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4" name="Button 48">
              <controlPr defaultSize="0" print="0" autoFill="0" autoPict="0" macro="[0]!ADCScheck">
                <anchor mov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EndADCS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6" name="Button 51">
              <controlPr defaultSize="0" print="0" autoFill="0" autoPict="0" macro="[0]!EndCRONUS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7" name="Button 52">
              <controlPr defaultSize="0" print="0" autoFill="0" autoPict="0" macro="[0]!EndEPS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8" name="Button 53">
              <controlPr defaultSize="0" print="0" autoFill="0" autoPict="0" macro="[0]!EndTCS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9" name="Button 54">
              <controlPr defaultSize="0" print="0" autoFill="0" autoPict="0" macro="[0]!VerifyTLM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0" name="Button 56">
              <controlPr defaultSize="0" print="0" autoFill="0" autoPict="0" macro="[0]!CRNScommand">
                <anchor moveWithCells="1">
                  <from>
                    <xdr:col>6</xdr:col>
                    <xdr:colOff>0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Button 39">
              <controlPr defaultSize="0" print="0" autoFill="0" autoPict="0" macro="[0]!DataVerify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2" name="Button 49">
              <controlPr defaultSize="0" print="0" autoFill="0" autoPict="0" macro="[0]!EPScheck">
                <anchor moveWithCells="1">
                  <from>
                    <xdr:col>10</xdr:col>
                    <xdr:colOff>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3" name="Button 57">
              <controlPr defaultSize="0" print="0" autoFill="0" autoPict="0" macro="[0]!TCScheck">
                <anchor moveWithCells="1">
                  <from>
                    <xdr:col>14</xdr:col>
                    <xdr:colOff>0</xdr:colOff>
                    <xdr:row>4</xdr:row>
                    <xdr:rowOff>9525</xdr:rowOff>
                  </from>
                  <to>
                    <xdr:col>16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4" name="Button 36">
              <controlPr defaultSize="0" print="0" autoFill="0" autoPict="0" macro="[0]!VerifyPin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5" name="Button 33">
              <controlPr defaultSize="0" print="0" autoFill="0" autoPict="0" macro="[0]!AlignAr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Button 61">
              <controlPr defaultSize="0" print="0" autoFill="0" autoPict="0" macro="[0]!AlignRad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7" name="Button 58">
              <controlPr defaultSize="0" print="0" autoFill="0" autoPict="0" macro="[0]!VerifyPin">
                <anchor moveWithCells="1">
                  <from>
                    <xdr:col>14</xdr:col>
                    <xdr:colOff>0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Button 65">
              <controlPr defaultSize="0" print="0" autoFill="0" autoPict="0" macro="[0]!CRNScheck">
                <anchor mov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9" name="Button 66">
              <controlPr defaultSize="0" print="0" autoFill="0" autoPict="0" macro="[0]!EPScheck">
                <anchor moveWithCells="1">
                  <from>
                    <xdr:col>10</xdr:col>
                    <xdr:colOff>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0" name="Button 67">
              <controlPr defaultSize="0" print="0" autoFill="0" autoPict="0" macro="[0]!TCScheck">
                <anchor moveWithCells="1">
                  <from>
                    <xdr:col>14</xdr:col>
                    <xdr:colOff>0</xdr:colOff>
                    <xdr:row>4</xdr:row>
                    <xdr:rowOff>9525</xdr:rowOff>
                  </from>
                  <to>
                    <xdr:col>16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1" name="Button 68">
              <controlPr defaultSize="0" print="0" autoFill="0" autoPict="0" macro="[0]!EnablePDU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2" name="Button 69">
              <controlPr defaultSize="0" print="0" autoFill="0" autoPict="0" macro="[0]!Couple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3" name="Button 70">
              <controlPr defaultSize="0" print="0" autoFill="0" autoPict="0" macro="[0]!Uplink">
                <anchor moveWithCells="1">
                  <from>
                    <xdr:col>6</xdr:col>
                    <xdr:colOff>0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4" name="Button 71">
              <controlPr defaultSize="0" print="0" autoFill="0" autoPict="0" macro="[0]!Downlink">
                <anchor moveWithCells="1">
                  <from>
                    <xdr:col>6</xdr:col>
                    <xdr:colOff>0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5" name="Button 73">
              <controlPr defaultSize="0" print="0" autoFill="0" autoPict="0" macro="[0]!GPS">
                <anchor moveWithCells="1">
                  <from>
                    <xdr:col>6</xdr:col>
                    <xdr:colOff>0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6" name="Button 74">
              <controlPr defaultSize="0" print="0" autoFill="0" autoPict="0" macro="[0]!CheckBat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7" name="Button 75">
              <controlPr defaultSize="0" print="0" autoFill="0" autoPict="0" macro="[0]!CheckAr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8" name="Button 64">
              <controlPr defaultSize="0" print="0" autoFill="0" autoPict="0" macro="[0]!ActivatePumps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9" name="Button 76">
              <controlPr defaultSize="0" print="0" autoFill="0" autoPict="0" macro="[0]!RadSetting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0" name="Button 77">
              <controlPr defaultSize="0" print="0" autoFill="0" autoPict="0" macro="[0]!SetTemp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6" operator="containsText" id="{01505871-7A13-4B11-B29B-D2FCA4D19D44}">
            <xm:f>NOT(ISERROR(SEARCH('Code Tab'!$B$8,E8)))</xm:f>
            <xm:f>'Code Tab'!$B$8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E8:F8</xm:sqref>
        </x14:conditionalFormatting>
        <x14:conditionalFormatting xmlns:xm="http://schemas.microsoft.com/office/excel/2006/main">
          <x14:cfRule type="containsText" priority="20" operator="containsText" id="{B513B51F-EA2C-4903-8108-DAA96C99BC1A}">
            <xm:f>NOT(ISERROR(SEARCH('Code Tab'!$D$8,I14)))</xm:f>
            <xm:f>'Code Tab'!$D$8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" operator="containsText" id="{68D80765-7098-4602-9FF5-D31FB165C7F2}">
            <xm:f>NOT(ISERROR(SEARCH('Code Tab'!$D$9,I14)))</xm:f>
            <xm:f>'Code Tab'!$D$9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18" operator="containsText" id="{6E34A2CC-5ACB-4CD9-A65A-03A59C669A40}">
            <xm:f>NOT(ISERROR(SEARCH('Code Tab'!$D$10,I14)))</xm:f>
            <xm:f>'Code Tab'!$D$10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I14:J14</xm:sqref>
        </x14:conditionalFormatting>
        <x14:conditionalFormatting xmlns:xm="http://schemas.microsoft.com/office/excel/2006/main">
          <x14:cfRule type="containsText" priority="16" operator="containsText" id="{A150FA06-F96A-4057-8410-47967DB51FAF}">
            <xm:f>NOT(ISERROR(SEARCH('Code Tab'!$F$9,I16)))</xm:f>
            <xm:f>'Code Tab'!$F$9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15" operator="containsText" id="{65242DB8-F4F4-4232-BA1C-E8AA453FE66D}">
            <xm:f>NOT(ISERROR(SEARCH('Code Tab'!$F$10,I16)))</xm:f>
            <xm:f>'Code Tab'!$F$10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I16:J16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97CF-1513-4029-A173-02264ED07318}">
  <sheetPr codeName="Sheet2"/>
  <dimension ref="A1:O10"/>
  <sheetViews>
    <sheetView workbookViewId="0">
      <selection activeCell="D11" sqref="D11"/>
    </sheetView>
  </sheetViews>
  <sheetFormatPr defaultRowHeight="15" x14ac:dyDescent="0.25"/>
  <sheetData>
    <row r="1" spans="1:15" x14ac:dyDescent="0.25">
      <c r="A1" t="s">
        <v>14</v>
      </c>
      <c r="B1" t="s">
        <v>35</v>
      </c>
      <c r="C1" t="s">
        <v>36</v>
      </c>
      <c r="D1" t="s">
        <v>37</v>
      </c>
      <c r="O1" s="18">
        <v>3.3217592592592591E-3</v>
      </c>
    </row>
    <row r="2" spans="1:15" x14ac:dyDescent="0.25">
      <c r="A2" s="20"/>
      <c r="B2" s="20"/>
      <c r="C2" s="20"/>
      <c r="D2" s="20"/>
      <c r="E2" s="20">
        <f>SUM(A2:D2)</f>
        <v>0</v>
      </c>
    </row>
    <row r="4" spans="1:15" x14ac:dyDescent="0.25">
      <c r="A4" t="s">
        <v>16</v>
      </c>
      <c r="B4" t="s">
        <v>17</v>
      </c>
      <c r="C4" t="s">
        <v>18</v>
      </c>
    </row>
    <row r="5" spans="1:15" x14ac:dyDescent="0.25">
      <c r="A5" s="19"/>
      <c r="B5" s="19"/>
      <c r="C5" s="19"/>
    </row>
    <row r="7" spans="1:15" x14ac:dyDescent="0.25">
      <c r="B7" t="s">
        <v>41</v>
      </c>
      <c r="D7" t="s">
        <v>84</v>
      </c>
      <c r="F7" t="s">
        <v>85</v>
      </c>
    </row>
    <row r="8" spans="1:15" ht="30" x14ac:dyDescent="0.25">
      <c r="B8" s="27" t="s">
        <v>96</v>
      </c>
      <c r="D8" s="29">
        <v>0.25</v>
      </c>
      <c r="F8" t="s">
        <v>86</v>
      </c>
    </row>
    <row r="9" spans="1:15" x14ac:dyDescent="0.25">
      <c r="D9" s="29">
        <v>0.5</v>
      </c>
      <c r="F9" s="29">
        <v>0.03</v>
      </c>
    </row>
    <row r="10" spans="1:15" x14ac:dyDescent="0.25">
      <c r="D10" s="29" t="s">
        <v>87</v>
      </c>
      <c r="F10" s="29">
        <v>0.14000000000000001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C7E846DE419143B95E9140F380AF8F" ma:contentTypeVersion="5" ma:contentTypeDescription="Create a new document." ma:contentTypeScope="" ma:versionID="81cf8091751ff584d0b7f40890f3011d">
  <xsd:schema xmlns:xsd="http://www.w3.org/2001/XMLSchema" xmlns:xs="http://www.w3.org/2001/XMLSchema" xmlns:p="http://schemas.microsoft.com/office/2006/metadata/properties" xmlns:ns3="e57a516d-be2b-46a3-b599-1719e585e1c9" xmlns:ns4="58efc076-9ea9-4974-8dac-a910f01c1ba2" targetNamespace="http://schemas.microsoft.com/office/2006/metadata/properties" ma:root="true" ma:fieldsID="240a572ae4a0768d32cf856f8c18dc5f" ns3:_="" ns4:_="">
    <xsd:import namespace="e57a516d-be2b-46a3-b599-1719e585e1c9"/>
    <xsd:import namespace="58efc076-9ea9-4974-8dac-a910f01c1ba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7a516d-be2b-46a3-b599-1719e585e1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efc076-9ea9-4974-8dac-a910f01c1b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F18EB8-ADD6-413A-AC60-08C2D2B804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8C40D1-2A96-4320-B6D4-37FC5CFC31DA}">
  <ds:schemaRefs>
    <ds:schemaRef ds:uri="http://purl.org/dc/terms/"/>
    <ds:schemaRef ds:uri="58efc076-9ea9-4974-8dac-a910f01c1ba2"/>
    <ds:schemaRef ds:uri="http://schemas.microsoft.com/office/2006/documentManagement/types"/>
    <ds:schemaRef ds:uri="http://schemas.microsoft.com/office/infopath/2007/PartnerControls"/>
    <ds:schemaRef ds:uri="e57a516d-be2b-46a3-b599-1719e585e1c9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0A9CD51-F115-4B58-9FCE-F34322BAE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7a516d-be2b-46a3-b599-1719e585e1c9"/>
    <ds:schemaRef ds:uri="58efc076-9ea9-4974-8dac-a910f01c1b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Console Tab</vt:lpstr>
      <vt:lpstr>Code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Stockdale</dc:creator>
  <cp:lastModifiedBy>Chris Stockdale</cp:lastModifiedBy>
  <dcterms:created xsi:type="dcterms:W3CDTF">2021-04-14T18:37:14Z</dcterms:created>
  <dcterms:modified xsi:type="dcterms:W3CDTF">2021-04-28T15:01:10Z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0x01010084C7E846DE419143B95E9140F380AF8F</vt:lpwstr>
  </property>
</Properties>
</file>